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DB43473-F163-4A28-A37B-3CC0B9B1254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stimación FoodLoo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6" i="1" l="1"/>
  <c r="L26" i="1"/>
  <c r="L33" i="1"/>
  <c r="K33" i="1"/>
  <c r="K29" i="1"/>
  <c r="K26" i="1"/>
  <c r="G35" i="1"/>
  <c r="F35" i="1"/>
  <c r="E35" i="1"/>
  <c r="D35" i="1"/>
  <c r="C35" i="1"/>
  <c r="B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35" i="1" s="1"/>
  <c r="J11" i="1" s="1"/>
  <c r="K11" i="1" l="1"/>
  <c r="L11" i="1" s="1"/>
  <c r="M11" i="1" s="1"/>
  <c r="M16" i="1"/>
  <c r="N16" i="1"/>
  <c r="L16" i="1"/>
  <c r="K16" i="1"/>
  <c r="L29" i="1" l="1"/>
  <c r="L17" i="1"/>
  <c r="L18" i="1" s="1"/>
  <c r="L19" i="1" s="1"/>
  <c r="N26" i="1"/>
  <c r="N29" i="1" s="1"/>
  <c r="N17" i="1"/>
  <c r="N18" i="1" s="1"/>
  <c r="N19" i="1" s="1"/>
  <c r="M17" i="1"/>
  <c r="M18" i="1" s="1"/>
  <c r="M19" i="1" s="1"/>
  <c r="M29" i="1"/>
  <c r="K17" i="1"/>
  <c r="K18" i="1" s="1"/>
  <c r="K19" i="1" s="1"/>
  <c r="M27" i="1" l="1"/>
  <c r="M20" i="1"/>
  <c r="M28" i="1" s="1"/>
  <c r="K27" i="1"/>
  <c r="K20" i="1"/>
  <c r="K28" i="1" s="1"/>
  <c r="M33" i="1"/>
  <c r="M36" i="1"/>
  <c r="M34" i="1"/>
  <c r="M35" i="1"/>
  <c r="L27" i="1"/>
  <c r="L20" i="1"/>
  <c r="L28" i="1" s="1"/>
  <c r="K36" i="1"/>
  <c r="K34" i="1"/>
  <c r="K35" i="1"/>
  <c r="N27" i="1"/>
  <c r="N20" i="1"/>
  <c r="N28" i="1" s="1"/>
  <c r="N33" i="1"/>
  <c r="N36" i="1"/>
  <c r="N34" i="1"/>
  <c r="N35" i="1"/>
  <c r="L36" i="1"/>
  <c r="L34" i="1"/>
  <c r="L35" i="1"/>
  <c r="K37" i="1" l="1"/>
  <c r="L37" i="1"/>
  <c r="N37" i="1"/>
  <c r="M37" i="1"/>
</calcChain>
</file>

<file path=xl/sharedStrings.xml><?xml version="1.0" encoding="utf-8"?>
<sst xmlns="http://schemas.openxmlformats.org/spreadsheetml/2006/main" count="124" uniqueCount="78">
  <si>
    <t>FoodLoop — Estimación de Esfuerzo y Costos por Módulos o Componentes</t>
  </si>
  <si>
    <t>Equipo: 4 desarrolladores  |  Moneda: MXN  |  Incluye trabajo ya realizado (web) + nuevo desarrollo (app móvil y smartwatch)</t>
  </si>
  <si>
    <t>Estimación de esfuerzos por módulos o componentes</t>
  </si>
  <si>
    <t>Estimación por tipo de esfuerzo (horas)</t>
  </si>
  <si>
    <t>Módulo / Componente</t>
  </si>
  <si>
    <t>Simple</t>
  </si>
  <si>
    <t>Muy fácil</t>
  </si>
  <si>
    <t>Fácil</t>
  </si>
  <si>
    <t>Normal</t>
  </si>
  <si>
    <t>Difícil</t>
  </si>
  <si>
    <t>Muy difícil</t>
  </si>
  <si>
    <t>Horas</t>
  </si>
  <si>
    <t>Estado</t>
  </si>
  <si>
    <t>Diseño y modelado de la base de datos (PostgreSQL, 9 tablas)</t>
  </si>
  <si>
    <t>✅ Ya completado</t>
  </si>
  <si>
    <t>Autenticación: registro, login, JWT, bcrypt</t>
  </si>
  <si>
    <t>* Editable: horas equivalentes que representa cada nivel de dificultad.</t>
  </si>
  <si>
    <t>Verificación de email (tokens, SMTP)</t>
  </si>
  <si>
    <t>Recuperación de contraseña</t>
  </si>
  <si>
    <t>Total de esfuerzo (todo el equipo trabajando en conjunto)</t>
  </si>
  <si>
    <t>Rate limiting y control de intentos de login</t>
  </si>
  <si>
    <t>Días</t>
  </si>
  <si>
    <t>Semanas</t>
  </si>
  <si>
    <t>Meses</t>
  </si>
  <si>
    <t>CRUD de despensa del usuario (user_ingredients)</t>
  </si>
  <si>
    <t>Catálogo de ingredientes</t>
  </si>
  <si>
    <t>Generación de recetas con IA (Gemini/OpenAI + fallback)</t>
  </si>
  <si>
    <t>Agenda &amp; Recursos (equipo de FoodLoop = 4 desarrolladores)</t>
  </si>
  <si>
    <t>Detección de ingredientes por imagen (upload + IA)</t>
  </si>
  <si>
    <t>1 Recurso</t>
  </si>
  <si>
    <t>2 Recursos</t>
  </si>
  <si>
    <t>3 Recursos</t>
  </si>
  <si>
    <t>4 Recursos</t>
  </si>
  <si>
    <t>Guardado y consulta de recetas y pasos</t>
  </si>
  <si>
    <t>Factor de eficiencia*</t>
  </si>
  <si>
    <t>Sistema de favoritos</t>
  </si>
  <si>
    <t>Horas efectivas (equipo)</t>
  </si>
  <si>
    <t>Suscripciones premium (pagos)</t>
  </si>
  <si>
    <t>Horas por recurso (calendario)</t>
  </si>
  <si>
    <t>Analítica de visitas (site_visits)</t>
  </si>
  <si>
    <t>Monitoreo de uso de IA (gemini_usage)</t>
  </si>
  <si>
    <t>Backups automatizados (3 niveles + scripts .bat)</t>
  </si>
  <si>
    <t>Documentación de API (Swagger)</t>
  </si>
  <si>
    <t>*Cada desarrollador adicional suma ~3% de retrabajo por coordinación (supuesto editable).</t>
  </si>
  <si>
    <t>UI Web: registro / login / verificación / recuperación</t>
  </si>
  <si>
    <t>UI Web: gestión de despensa</t>
  </si>
  <si>
    <t>Costo del proyecto (MXN)</t>
  </si>
  <si>
    <t>UI Web: generación y visualización de recetas</t>
  </si>
  <si>
    <t>Costo por hora (MXN)</t>
  </si>
  <si>
    <t>Tarifa promedio por hora-desarrollador (dato editable, súbelo/bájalo según tu equipo).</t>
  </si>
  <si>
    <t>UI Web: perfil, favoritos y suscripción</t>
  </si>
  <si>
    <t>Panel administrativo (Web)</t>
  </si>
  <si>
    <t>Horas efectivas</t>
  </si>
  <si>
    <t>App móvil: autenticación y perfil</t>
  </si>
  <si>
    <t>🆕 Nuevo (móvil/smartwatch)</t>
  </si>
  <si>
    <t>Semanas (duración)</t>
  </si>
  <si>
    <t>App móvil: despensa y escaneo de ingredientes (cámara)</t>
  </si>
  <si>
    <t>Meses (duración)</t>
  </si>
  <si>
    <t>App móvil: generación y visualización de recetas</t>
  </si>
  <si>
    <t>Total (MXN)</t>
  </si>
  <si>
    <t>App móvil: notificaciones push (vencimientos)</t>
  </si>
  <si>
    <t>Publicación en App Store / Google Play</t>
  </si>
  <si>
    <t>Desglose del costo total</t>
  </si>
  <si>
    <t>Smartwatch: UI de recetas rápidas y temporizador de cocina</t>
  </si>
  <si>
    <t>Smartwatch: notificaciones de vencimiento de ingredientes</t>
  </si>
  <si>
    <t>Desarrollo (50%)</t>
  </si>
  <si>
    <t>Sincronización app móvil ↔ smartwatch (Wear OS / watchOS)</t>
  </si>
  <si>
    <t>Costos fijos (30%)</t>
  </si>
  <si>
    <t>Total Esfuerzo</t>
  </si>
  <si>
    <t>Gastos extra (10%)</t>
  </si>
  <si>
    <t>Ganancia (10%)</t>
  </si>
  <si>
    <t>Total</t>
  </si>
  <si>
    <t>Notas y supuestos:</t>
  </si>
  <si>
    <t>1) La columna 'Estado' distingue lo ya desarrollado (backend + web) de lo nuevo a construir (app móvil y smartwatch).</t>
  </si>
  <si>
    <t>2) Las horas por nivel de dificultad (Simple=4h … Muy difícil=40h) son un supuesto estándar del equipo; edítalas en K6:P6 si su convención es distinta.</t>
  </si>
  <si>
    <t>3) El factor de eficiencia (fila 15) refleja el sobrecosto de coordinación al sumar desarrolladores; edítalo según la experiencia real del equipo.</t>
  </si>
  <si>
    <t>4) El costo por hora (K24) es un valor de referencia en MXN para un desarrollador junior-medio en México; ajústalo a la tarifa real de su equipo.</t>
  </si>
  <si>
    <t>5) Con 4 desarrolladores (columna 'N'), pueden leer directamente la duración estimada en semanas/meses y el costo total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</si>
</sst>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8"/>
      <name val="Arial"/>
      <charset val="1"/>
    </font>
    <font>
      <i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3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/>
    <xf numFmtId="4" fontId="4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P34" sqref="P34"/>
    </sheetView>
  </sheetViews>
  <sheetFormatPr baseColWidth="10" defaultColWidth="8.7109375" defaultRowHeight="15" x14ac:dyDescent="0.25"/>
  <cols>
    <col min="1" max="1" width="46" customWidth="1"/>
    <col min="2" max="8" width="9" customWidth="1"/>
    <col min="9" max="9" width="22" customWidth="1"/>
    <col min="10" max="10" width="26" customWidth="1"/>
    <col min="11" max="14" width="13" customWidth="1"/>
    <col min="15" max="16" width="10" customWidth="1"/>
  </cols>
  <sheetData>
    <row r="1" spans="1:16" ht="24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ht="15" customHeight="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 t="s">
        <v>3</v>
      </c>
      <c r="K4" s="4"/>
      <c r="L4" s="4"/>
      <c r="M4" s="4"/>
      <c r="N4" s="4"/>
      <c r="O4" s="4"/>
      <c r="P4" s="4"/>
    </row>
    <row r="5" spans="1:16" ht="30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10</v>
      </c>
    </row>
    <row r="6" spans="1:16" ht="28.5" x14ac:dyDescent="0.25">
      <c r="A6" s="9" t="s">
        <v>13</v>
      </c>
      <c r="B6" s="10"/>
      <c r="C6" s="10"/>
      <c r="D6" s="10"/>
      <c r="E6" s="10">
        <v>1</v>
      </c>
      <c r="F6" s="10"/>
      <c r="G6" s="10"/>
      <c r="H6" s="11">
        <f t="shared" ref="H6:H34" si="0">SUMPRODUCT(B6:G6,$K$6:$P$6)</f>
        <v>15</v>
      </c>
      <c r="I6" s="12" t="s">
        <v>14</v>
      </c>
      <c r="J6" s="13" t="s">
        <v>11</v>
      </c>
      <c r="K6" s="14">
        <v>4</v>
      </c>
      <c r="L6" s="14">
        <v>8</v>
      </c>
      <c r="M6" s="14">
        <v>10</v>
      </c>
      <c r="N6" s="14">
        <v>15</v>
      </c>
      <c r="O6" s="14">
        <v>20</v>
      </c>
      <c r="P6" s="14">
        <v>30</v>
      </c>
    </row>
    <row r="7" spans="1:16" x14ac:dyDescent="0.25">
      <c r="A7" s="9" t="s">
        <v>15</v>
      </c>
      <c r="B7" s="10"/>
      <c r="C7" s="10"/>
      <c r="D7" s="10"/>
      <c r="E7" s="10"/>
      <c r="F7" s="10">
        <v>1</v>
      </c>
      <c r="G7" s="10"/>
      <c r="H7" s="11">
        <f t="shared" si="0"/>
        <v>20</v>
      </c>
      <c r="I7" s="12" t="s">
        <v>14</v>
      </c>
      <c r="J7" s="15" t="s">
        <v>16</v>
      </c>
    </row>
    <row r="8" spans="1:16" x14ac:dyDescent="0.25">
      <c r="A8" s="9" t="s">
        <v>17</v>
      </c>
      <c r="B8" s="10"/>
      <c r="C8" s="10"/>
      <c r="D8" s="10">
        <v>1</v>
      </c>
      <c r="E8" s="10"/>
      <c r="F8" s="10"/>
      <c r="G8" s="10"/>
      <c r="H8" s="11">
        <f t="shared" si="0"/>
        <v>10</v>
      </c>
      <c r="I8" s="12" t="s">
        <v>14</v>
      </c>
    </row>
    <row r="9" spans="1:16" ht="15" customHeight="1" x14ac:dyDescent="0.25">
      <c r="A9" s="9" t="s">
        <v>18</v>
      </c>
      <c r="B9" s="10"/>
      <c r="C9" s="10"/>
      <c r="D9" s="10">
        <v>1</v>
      </c>
      <c r="E9" s="10"/>
      <c r="F9" s="10"/>
      <c r="G9" s="10"/>
      <c r="H9" s="11">
        <f t="shared" si="0"/>
        <v>10</v>
      </c>
      <c r="I9" s="12" t="s">
        <v>14</v>
      </c>
      <c r="J9" s="4" t="s">
        <v>19</v>
      </c>
      <c r="K9" s="4"/>
      <c r="L9" s="4"/>
      <c r="M9" s="4"/>
    </row>
    <row r="10" spans="1:16" x14ac:dyDescent="0.25">
      <c r="A10" s="9" t="s">
        <v>20</v>
      </c>
      <c r="B10" s="10"/>
      <c r="C10" s="10">
        <v>1</v>
      </c>
      <c r="D10" s="10"/>
      <c r="E10" s="10"/>
      <c r="F10" s="10"/>
      <c r="G10" s="10"/>
      <c r="H10" s="11">
        <f t="shared" si="0"/>
        <v>8</v>
      </c>
      <c r="I10" s="12" t="s">
        <v>14</v>
      </c>
      <c r="J10" s="8" t="s">
        <v>11</v>
      </c>
      <c r="K10" s="8" t="s">
        <v>21</v>
      </c>
      <c r="L10" s="8" t="s">
        <v>22</v>
      </c>
      <c r="M10" s="8" t="s">
        <v>23</v>
      </c>
    </row>
    <row r="11" spans="1:16" ht="28.5" x14ac:dyDescent="0.25">
      <c r="A11" s="9" t="s">
        <v>24</v>
      </c>
      <c r="B11" s="10"/>
      <c r="C11" s="10"/>
      <c r="D11" s="10"/>
      <c r="E11" s="10">
        <v>1</v>
      </c>
      <c r="F11" s="10"/>
      <c r="G11" s="10"/>
      <c r="H11" s="11">
        <f t="shared" si="0"/>
        <v>15</v>
      </c>
      <c r="I11" s="12" t="s">
        <v>14</v>
      </c>
      <c r="J11" s="16">
        <f>H35</f>
        <v>448</v>
      </c>
      <c r="K11" s="17">
        <f>J11/8</f>
        <v>56</v>
      </c>
      <c r="L11" s="17">
        <f>K11/5</f>
        <v>11.2</v>
      </c>
      <c r="M11" s="17">
        <f>L11/4</f>
        <v>2.8</v>
      </c>
    </row>
    <row r="12" spans="1:16" x14ac:dyDescent="0.25">
      <c r="A12" s="9" t="s">
        <v>25</v>
      </c>
      <c r="B12" s="10"/>
      <c r="C12" s="10">
        <v>1</v>
      </c>
      <c r="D12" s="10"/>
      <c r="E12" s="10"/>
      <c r="F12" s="10"/>
      <c r="G12" s="10"/>
      <c r="H12" s="11">
        <f t="shared" si="0"/>
        <v>8</v>
      </c>
      <c r="I12" s="12" t="s">
        <v>14</v>
      </c>
    </row>
    <row r="13" spans="1:16" ht="26.85" customHeight="1" x14ac:dyDescent="0.25">
      <c r="A13" s="9" t="s">
        <v>26</v>
      </c>
      <c r="B13" s="10"/>
      <c r="C13" s="10"/>
      <c r="D13" s="10"/>
      <c r="E13" s="10"/>
      <c r="F13" s="10"/>
      <c r="G13" s="10">
        <v>1</v>
      </c>
      <c r="H13" s="11">
        <f t="shared" si="0"/>
        <v>30</v>
      </c>
      <c r="I13" s="12" t="s">
        <v>14</v>
      </c>
      <c r="J13" s="4" t="s">
        <v>27</v>
      </c>
      <c r="K13" s="4"/>
      <c r="L13" s="4"/>
      <c r="M13" s="4"/>
      <c r="N13" s="4"/>
    </row>
    <row r="14" spans="1:16" ht="28.5" x14ac:dyDescent="0.25">
      <c r="A14" s="9" t="s">
        <v>28</v>
      </c>
      <c r="B14" s="10"/>
      <c r="C14" s="10"/>
      <c r="D14" s="10"/>
      <c r="E14" s="10"/>
      <c r="F14" s="10">
        <v>1</v>
      </c>
      <c r="G14" s="10"/>
      <c r="H14" s="11">
        <f t="shared" si="0"/>
        <v>20</v>
      </c>
      <c r="I14" s="12" t="s">
        <v>14</v>
      </c>
      <c r="J14" s="8"/>
      <c r="K14" s="8" t="s">
        <v>29</v>
      </c>
      <c r="L14" s="8" t="s">
        <v>30</v>
      </c>
      <c r="M14" s="8" t="s">
        <v>31</v>
      </c>
      <c r="N14" s="8" t="s">
        <v>32</v>
      </c>
    </row>
    <row r="15" spans="1:16" x14ac:dyDescent="0.25">
      <c r="A15" s="9" t="s">
        <v>33</v>
      </c>
      <c r="B15" s="10"/>
      <c r="C15" s="10"/>
      <c r="D15" s="10"/>
      <c r="E15" s="10">
        <v>1</v>
      </c>
      <c r="F15" s="10"/>
      <c r="G15" s="10"/>
      <c r="H15" s="11">
        <f t="shared" si="0"/>
        <v>15</v>
      </c>
      <c r="I15" s="12" t="s">
        <v>14</v>
      </c>
      <c r="J15" s="9" t="s">
        <v>34</v>
      </c>
      <c r="K15" s="18">
        <v>1</v>
      </c>
      <c r="L15" s="18">
        <v>0.97</v>
      </c>
      <c r="M15" s="18">
        <v>0.94</v>
      </c>
      <c r="N15" s="18">
        <v>0.91</v>
      </c>
    </row>
    <row r="16" spans="1:16" x14ac:dyDescent="0.25">
      <c r="A16" s="9" t="s">
        <v>35</v>
      </c>
      <c r="B16" s="10">
        <v>1</v>
      </c>
      <c r="C16" s="10"/>
      <c r="D16" s="10"/>
      <c r="E16" s="10"/>
      <c r="F16" s="10"/>
      <c r="G16" s="10"/>
      <c r="H16" s="11">
        <f t="shared" si="0"/>
        <v>4</v>
      </c>
      <c r="I16" s="12" t="s">
        <v>14</v>
      </c>
      <c r="J16" s="9" t="s">
        <v>36</v>
      </c>
      <c r="K16" s="16">
        <f>$J$11/K15</f>
        <v>448</v>
      </c>
      <c r="L16" s="16">
        <f>$J$11/L15</f>
        <v>461.85567010309279</v>
      </c>
      <c r="M16" s="16">
        <f>$J$11/M15</f>
        <v>476.59574468085111</v>
      </c>
      <c r="N16" s="16">
        <f>$J$11/N15</f>
        <v>492.30769230769226</v>
      </c>
    </row>
    <row r="17" spans="1:16" ht="28.5" x14ac:dyDescent="0.25">
      <c r="A17" s="9" t="s">
        <v>37</v>
      </c>
      <c r="B17" s="10"/>
      <c r="C17" s="10"/>
      <c r="D17" s="10"/>
      <c r="E17" s="10"/>
      <c r="F17" s="10">
        <v>1</v>
      </c>
      <c r="G17" s="10"/>
      <c r="H17" s="11">
        <f t="shared" si="0"/>
        <v>20</v>
      </c>
      <c r="I17" s="12" t="s">
        <v>14</v>
      </c>
      <c r="J17" s="9" t="s">
        <v>38</v>
      </c>
      <c r="K17" s="17">
        <f>K16/1</f>
        <v>448</v>
      </c>
      <c r="L17" s="17">
        <f>L16/2</f>
        <v>230.9278350515464</v>
      </c>
      <c r="M17" s="17">
        <f>M16/3</f>
        <v>158.86524822695037</v>
      </c>
      <c r="N17" s="17">
        <f>N16/4</f>
        <v>123.07692307692307</v>
      </c>
    </row>
    <row r="18" spans="1:16" x14ac:dyDescent="0.25">
      <c r="A18" s="9" t="s">
        <v>39</v>
      </c>
      <c r="B18" s="10"/>
      <c r="C18" s="10"/>
      <c r="D18" s="10">
        <v>1</v>
      </c>
      <c r="E18" s="10"/>
      <c r="F18" s="10"/>
      <c r="G18" s="10"/>
      <c r="H18" s="11">
        <f t="shared" si="0"/>
        <v>10</v>
      </c>
      <c r="I18" s="12" t="s">
        <v>14</v>
      </c>
      <c r="J18" s="9" t="s">
        <v>21</v>
      </c>
      <c r="K18" s="17">
        <f>K17/8</f>
        <v>56</v>
      </c>
      <c r="L18" s="17">
        <f>L17/8</f>
        <v>28.865979381443299</v>
      </c>
      <c r="M18" s="17">
        <f>M17/8</f>
        <v>19.858156028368796</v>
      </c>
      <c r="N18" s="17">
        <f>N17/8</f>
        <v>15.384615384615383</v>
      </c>
    </row>
    <row r="19" spans="1:16" x14ac:dyDescent="0.25">
      <c r="A19" s="9" t="s">
        <v>40</v>
      </c>
      <c r="B19" s="10"/>
      <c r="C19" s="10">
        <v>1</v>
      </c>
      <c r="D19" s="10"/>
      <c r="E19" s="10"/>
      <c r="F19" s="10"/>
      <c r="G19" s="10"/>
      <c r="H19" s="11">
        <f t="shared" si="0"/>
        <v>8</v>
      </c>
      <c r="I19" s="12" t="s">
        <v>14</v>
      </c>
      <c r="J19" s="9" t="s">
        <v>22</v>
      </c>
      <c r="K19" s="17">
        <f>K18/5</f>
        <v>11.2</v>
      </c>
      <c r="L19" s="17">
        <f>L18/5</f>
        <v>5.7731958762886597</v>
      </c>
      <c r="M19" s="17">
        <f>M18/5</f>
        <v>3.9716312056737593</v>
      </c>
      <c r="N19" s="17">
        <f>N18/5</f>
        <v>3.0769230769230766</v>
      </c>
    </row>
    <row r="20" spans="1:16" ht="28.5" x14ac:dyDescent="0.25">
      <c r="A20" s="9" t="s">
        <v>41</v>
      </c>
      <c r="B20" s="10"/>
      <c r="C20" s="10"/>
      <c r="D20" s="10"/>
      <c r="E20" s="10">
        <v>1</v>
      </c>
      <c r="F20" s="10"/>
      <c r="G20" s="10"/>
      <c r="H20" s="11">
        <f t="shared" si="0"/>
        <v>15</v>
      </c>
      <c r="I20" s="12" t="s">
        <v>14</v>
      </c>
      <c r="J20" s="9" t="s">
        <v>23</v>
      </c>
      <c r="K20" s="17">
        <f>K19/4</f>
        <v>2.8</v>
      </c>
      <c r="L20" s="17">
        <f>L19/4</f>
        <v>1.4432989690721649</v>
      </c>
      <c r="M20" s="17">
        <f>M19/4</f>
        <v>0.99290780141843982</v>
      </c>
      <c r="N20" s="17">
        <f>N19/4</f>
        <v>0.76923076923076916</v>
      </c>
    </row>
    <row r="21" spans="1:16" x14ac:dyDescent="0.25">
      <c r="A21" s="9" t="s">
        <v>42</v>
      </c>
      <c r="B21" s="10"/>
      <c r="C21" s="10"/>
      <c r="D21" s="10">
        <v>1</v>
      </c>
      <c r="E21" s="10"/>
      <c r="F21" s="10"/>
      <c r="G21" s="10"/>
      <c r="H21" s="11">
        <f t="shared" si="0"/>
        <v>10</v>
      </c>
      <c r="I21" s="12" t="s">
        <v>14</v>
      </c>
      <c r="J21" s="3" t="s">
        <v>43</v>
      </c>
      <c r="K21" s="3"/>
      <c r="L21" s="3"/>
      <c r="M21" s="3"/>
      <c r="N21" s="3"/>
    </row>
    <row r="22" spans="1:16" ht="28.5" x14ac:dyDescent="0.25">
      <c r="A22" s="9" t="s">
        <v>44</v>
      </c>
      <c r="B22" s="10"/>
      <c r="C22" s="10"/>
      <c r="D22" s="10"/>
      <c r="E22" s="10">
        <v>1</v>
      </c>
      <c r="F22" s="10"/>
      <c r="G22" s="10"/>
      <c r="H22" s="11">
        <f t="shared" si="0"/>
        <v>15</v>
      </c>
      <c r="I22" s="12" t="s">
        <v>14</v>
      </c>
    </row>
    <row r="23" spans="1:16" ht="15" customHeight="1" x14ac:dyDescent="0.25">
      <c r="A23" s="9" t="s">
        <v>45</v>
      </c>
      <c r="B23" s="10"/>
      <c r="C23" s="10"/>
      <c r="D23" s="10"/>
      <c r="E23" s="10">
        <v>1</v>
      </c>
      <c r="F23" s="10"/>
      <c r="G23" s="10"/>
      <c r="H23" s="11">
        <f t="shared" si="0"/>
        <v>15</v>
      </c>
      <c r="I23" s="12" t="s">
        <v>14</v>
      </c>
      <c r="J23" s="4" t="s">
        <v>46</v>
      </c>
      <c r="K23" s="4"/>
      <c r="L23" s="4"/>
      <c r="M23" s="4"/>
      <c r="N23" s="4"/>
    </row>
    <row r="24" spans="1:16" x14ac:dyDescent="0.25">
      <c r="A24" s="9" t="s">
        <v>47</v>
      </c>
      <c r="B24" s="10"/>
      <c r="C24" s="10"/>
      <c r="D24" s="10"/>
      <c r="E24" s="10"/>
      <c r="F24" s="10">
        <v>1</v>
      </c>
      <c r="G24" s="10"/>
      <c r="H24" s="11">
        <f t="shared" si="0"/>
        <v>20</v>
      </c>
      <c r="I24" s="12" t="s">
        <v>14</v>
      </c>
      <c r="J24" s="19" t="s">
        <v>48</v>
      </c>
      <c r="K24" s="20">
        <v>220</v>
      </c>
      <c r="L24" s="3" t="s">
        <v>49</v>
      </c>
      <c r="M24" s="3"/>
      <c r="N24" s="3"/>
    </row>
    <row r="25" spans="1:16" x14ac:dyDescent="0.25">
      <c r="A25" s="9" t="s">
        <v>50</v>
      </c>
      <c r="B25" s="10"/>
      <c r="C25" s="10"/>
      <c r="D25" s="10"/>
      <c r="E25" s="10">
        <v>1</v>
      </c>
      <c r="F25" s="10"/>
      <c r="G25" s="10"/>
      <c r="H25" s="11">
        <f t="shared" si="0"/>
        <v>15</v>
      </c>
      <c r="I25" s="12" t="s">
        <v>14</v>
      </c>
      <c r="J25" s="8"/>
      <c r="K25" s="8" t="s">
        <v>29</v>
      </c>
      <c r="L25" s="8" t="s">
        <v>30</v>
      </c>
      <c r="M25" s="8" t="s">
        <v>31</v>
      </c>
      <c r="N25" s="8" t="s">
        <v>32</v>
      </c>
    </row>
    <row r="26" spans="1:16" x14ac:dyDescent="0.25">
      <c r="A26" s="9" t="s">
        <v>51</v>
      </c>
      <c r="B26" s="10"/>
      <c r="C26" s="10"/>
      <c r="D26" s="10"/>
      <c r="E26" s="10"/>
      <c r="F26" s="10">
        <v>1</v>
      </c>
      <c r="G26" s="10"/>
      <c r="H26" s="11">
        <f t="shared" si="0"/>
        <v>20</v>
      </c>
      <c r="I26" s="12" t="s">
        <v>14</v>
      </c>
      <c r="J26" s="9" t="s">
        <v>52</v>
      </c>
      <c r="K26" s="16">
        <f>K16</f>
        <v>448</v>
      </c>
      <c r="L26" s="16">
        <f>L16</f>
        <v>461.85567010309279</v>
      </c>
      <c r="M26" s="16">
        <f>M16</f>
        <v>476.59574468085111</v>
      </c>
      <c r="N26" s="16">
        <f>N16</f>
        <v>492.30769230769226</v>
      </c>
    </row>
    <row r="27" spans="1:16" ht="28.5" x14ac:dyDescent="0.25">
      <c r="A27" s="9" t="s">
        <v>53</v>
      </c>
      <c r="B27" s="10"/>
      <c r="C27" s="10"/>
      <c r="D27" s="10"/>
      <c r="E27" s="10">
        <v>1</v>
      </c>
      <c r="F27" s="10"/>
      <c r="G27" s="10"/>
      <c r="H27" s="11">
        <f t="shared" si="0"/>
        <v>15</v>
      </c>
      <c r="I27" s="21" t="s">
        <v>54</v>
      </c>
      <c r="J27" s="9" t="s">
        <v>55</v>
      </c>
      <c r="K27" s="17">
        <f t="shared" ref="K27:N28" si="1">K19</f>
        <v>11.2</v>
      </c>
      <c r="L27" s="17">
        <f t="shared" si="1"/>
        <v>5.7731958762886597</v>
      </c>
      <c r="M27" s="17">
        <f t="shared" si="1"/>
        <v>3.9716312056737593</v>
      </c>
      <c r="N27" s="17">
        <f t="shared" si="1"/>
        <v>3.0769230769230766</v>
      </c>
      <c r="P27" s="27"/>
    </row>
    <row r="28" spans="1:16" ht="28.5" x14ac:dyDescent="0.25">
      <c r="A28" s="9" t="s">
        <v>56</v>
      </c>
      <c r="B28" s="10"/>
      <c r="C28" s="10"/>
      <c r="D28" s="10"/>
      <c r="E28" s="10"/>
      <c r="F28" s="10">
        <v>1</v>
      </c>
      <c r="G28" s="10"/>
      <c r="H28" s="11">
        <f t="shared" si="0"/>
        <v>20</v>
      </c>
      <c r="I28" s="21" t="s">
        <v>54</v>
      </c>
      <c r="J28" s="9" t="s">
        <v>57</v>
      </c>
      <c r="K28" s="17">
        <f t="shared" si="1"/>
        <v>2.8</v>
      </c>
      <c r="L28" s="17">
        <f t="shared" si="1"/>
        <v>1.4432989690721649</v>
      </c>
      <c r="M28" s="17">
        <f t="shared" si="1"/>
        <v>0.99290780141843982</v>
      </c>
      <c r="N28" s="17">
        <f t="shared" si="1"/>
        <v>0.76923076923076916</v>
      </c>
    </row>
    <row r="29" spans="1:16" ht="28.5" x14ac:dyDescent="0.25">
      <c r="A29" s="9" t="s">
        <v>58</v>
      </c>
      <c r="B29" s="10"/>
      <c r="C29" s="10"/>
      <c r="D29" s="10"/>
      <c r="E29" s="10">
        <v>1</v>
      </c>
      <c r="F29" s="10"/>
      <c r="G29" s="10"/>
      <c r="H29" s="11">
        <f t="shared" si="0"/>
        <v>15</v>
      </c>
      <c r="I29" s="21" t="s">
        <v>54</v>
      </c>
      <c r="J29" s="22" t="s">
        <v>59</v>
      </c>
      <c r="K29" s="23">
        <f>K26*$K$24</f>
        <v>98560</v>
      </c>
      <c r="L29" s="23">
        <f>L26*$K$24</f>
        <v>101608.24742268042</v>
      </c>
      <c r="M29" s="23">
        <f>M26*$K$24</f>
        <v>104851.06382978725</v>
      </c>
      <c r="N29" s="23">
        <f>N26*$K$24</f>
        <v>108307.6923076923</v>
      </c>
    </row>
    <row r="30" spans="1:16" ht="28.5" x14ac:dyDescent="0.25">
      <c r="A30" s="9" t="s">
        <v>60</v>
      </c>
      <c r="B30" s="10"/>
      <c r="C30" s="10"/>
      <c r="D30" s="10"/>
      <c r="E30" s="10"/>
      <c r="F30" s="10">
        <v>1</v>
      </c>
      <c r="G30" s="10"/>
      <c r="H30" s="11">
        <f t="shared" si="0"/>
        <v>20</v>
      </c>
      <c r="I30" s="21" t="s">
        <v>54</v>
      </c>
    </row>
    <row r="31" spans="1:16" ht="26.85" customHeight="1" x14ac:dyDescent="0.25">
      <c r="A31" s="9" t="s">
        <v>61</v>
      </c>
      <c r="B31" s="10"/>
      <c r="C31" s="10"/>
      <c r="D31" s="10"/>
      <c r="E31" s="10">
        <v>1</v>
      </c>
      <c r="F31" s="10"/>
      <c r="G31" s="10"/>
      <c r="H31" s="11">
        <f t="shared" si="0"/>
        <v>15</v>
      </c>
      <c r="I31" s="21" t="s">
        <v>54</v>
      </c>
      <c r="J31" s="4" t="s">
        <v>62</v>
      </c>
      <c r="K31" s="4"/>
      <c r="L31" s="4"/>
      <c r="M31" s="4"/>
      <c r="N31" s="4"/>
    </row>
    <row r="32" spans="1:16" ht="28.5" x14ac:dyDescent="0.25">
      <c r="A32" s="9" t="s">
        <v>63</v>
      </c>
      <c r="B32" s="10"/>
      <c r="C32" s="10"/>
      <c r="D32" s="10"/>
      <c r="E32" s="10"/>
      <c r="F32" s="10">
        <v>1</v>
      </c>
      <c r="G32" s="10"/>
      <c r="H32" s="11">
        <f t="shared" si="0"/>
        <v>20</v>
      </c>
      <c r="I32" s="21" t="s">
        <v>54</v>
      </c>
      <c r="J32" s="8"/>
      <c r="K32" s="8" t="s">
        <v>29</v>
      </c>
      <c r="L32" s="8" t="s">
        <v>30</v>
      </c>
      <c r="M32" s="8" t="s">
        <v>31</v>
      </c>
      <c r="N32" s="8" t="s">
        <v>32</v>
      </c>
    </row>
    <row r="33" spans="1:14" ht="28.5" x14ac:dyDescent="0.25">
      <c r="A33" s="9" t="s">
        <v>64</v>
      </c>
      <c r="B33" s="10"/>
      <c r="C33" s="10"/>
      <c r="D33" s="10">
        <v>1</v>
      </c>
      <c r="E33" s="10"/>
      <c r="F33" s="10"/>
      <c r="G33" s="10"/>
      <c r="H33" s="11">
        <f t="shared" si="0"/>
        <v>10</v>
      </c>
      <c r="I33" s="21" t="s">
        <v>54</v>
      </c>
      <c r="J33" s="9" t="s">
        <v>65</v>
      </c>
      <c r="K33" s="24">
        <f>K$29*0.5</f>
        <v>49280</v>
      </c>
      <c r="L33" s="24">
        <f>L$29*0.5</f>
        <v>50804.123711340209</v>
      </c>
      <c r="M33" s="24">
        <f>M$29*0.5</f>
        <v>52425.531914893625</v>
      </c>
      <c r="N33" s="24">
        <f>N$29*0.5</f>
        <v>54153.846153846149</v>
      </c>
    </row>
    <row r="34" spans="1:14" ht="28.5" x14ac:dyDescent="0.25">
      <c r="A34" s="9" t="s">
        <v>66</v>
      </c>
      <c r="B34" s="10"/>
      <c r="C34" s="10"/>
      <c r="D34" s="10"/>
      <c r="E34" s="10"/>
      <c r="F34" s="10"/>
      <c r="G34" s="10">
        <v>1</v>
      </c>
      <c r="H34" s="11">
        <f t="shared" si="0"/>
        <v>30</v>
      </c>
      <c r="I34" s="21" t="s">
        <v>54</v>
      </c>
      <c r="J34" s="9" t="s">
        <v>67</v>
      </c>
      <c r="K34" s="24">
        <f>K$29*0.3</f>
        <v>29568</v>
      </c>
      <c r="L34" s="24">
        <f>L$29*0.3</f>
        <v>30482.474226804123</v>
      </c>
      <c r="M34" s="24">
        <f>M$29*0.3</f>
        <v>31455.319148936174</v>
      </c>
      <c r="N34" s="24">
        <f>N$29*0.3</f>
        <v>32492.307692307688</v>
      </c>
    </row>
    <row r="35" spans="1:14" x14ac:dyDescent="0.25">
      <c r="A35" s="22" t="s">
        <v>68</v>
      </c>
      <c r="B35" s="25">
        <f t="shared" ref="B35:H35" si="2">SUM(B6:B34)</f>
        <v>1</v>
      </c>
      <c r="C35" s="25">
        <f t="shared" si="2"/>
        <v>3</v>
      </c>
      <c r="D35" s="25">
        <f t="shared" si="2"/>
        <v>5</v>
      </c>
      <c r="E35" s="25">
        <f t="shared" si="2"/>
        <v>10</v>
      </c>
      <c r="F35" s="25">
        <f t="shared" si="2"/>
        <v>8</v>
      </c>
      <c r="G35" s="25">
        <f t="shared" si="2"/>
        <v>2</v>
      </c>
      <c r="H35" s="25">
        <f t="shared" si="2"/>
        <v>448</v>
      </c>
      <c r="I35" s="26"/>
      <c r="J35" s="9" t="s">
        <v>69</v>
      </c>
      <c r="K35" s="24">
        <f t="shared" ref="K35:N36" si="3">K$29*0.1</f>
        <v>9856</v>
      </c>
      <c r="L35" s="24">
        <f t="shared" si="3"/>
        <v>10160.824742268043</v>
      </c>
      <c r="M35" s="24">
        <f t="shared" si="3"/>
        <v>10485.106382978725</v>
      </c>
      <c r="N35" s="24">
        <f t="shared" si="3"/>
        <v>10830.76923076923</v>
      </c>
    </row>
    <row r="36" spans="1:14" x14ac:dyDescent="0.25">
      <c r="J36" s="9" t="s">
        <v>70</v>
      </c>
      <c r="K36" s="24">
        <f t="shared" si="3"/>
        <v>9856</v>
      </c>
      <c r="L36" s="24">
        <f t="shared" si="3"/>
        <v>10160.824742268043</v>
      </c>
      <c r="M36" s="24">
        <f t="shared" si="3"/>
        <v>10485.106382978725</v>
      </c>
      <c r="N36" s="24">
        <f t="shared" si="3"/>
        <v>10830.76923076923</v>
      </c>
    </row>
    <row r="37" spans="1:14" x14ac:dyDescent="0.25">
      <c r="J37" s="22" t="s">
        <v>71</v>
      </c>
      <c r="K37" s="23">
        <f>SUM(K33:K36)</f>
        <v>98560</v>
      </c>
      <c r="L37" s="23">
        <f>SUM(L33:L36)</f>
        <v>101608.24742268042</v>
      </c>
      <c r="M37" s="23">
        <f>SUM(M33:M36)</f>
        <v>104851.06382978726</v>
      </c>
      <c r="N37" s="23">
        <f>SUM(N33:N36)</f>
        <v>108307.69230769231</v>
      </c>
    </row>
    <row r="40" spans="1:14" x14ac:dyDescent="0.25">
      <c r="A40" s="2" t="s">
        <v>72</v>
      </c>
      <c r="B40" s="2"/>
      <c r="C40" s="2"/>
      <c r="D40" s="2"/>
      <c r="E40" s="2"/>
      <c r="F40" s="2"/>
      <c r="G40" s="2"/>
      <c r="H40" s="2"/>
      <c r="I40" s="2"/>
    </row>
    <row r="41" spans="1:14" x14ac:dyDescent="0.25">
      <c r="A41" s="1" t="s">
        <v>73</v>
      </c>
      <c r="B41" s="1"/>
      <c r="C41" s="1"/>
      <c r="D41" s="1"/>
      <c r="E41" s="1"/>
      <c r="F41" s="1"/>
      <c r="G41" s="1"/>
      <c r="H41" s="1"/>
      <c r="I41" s="1"/>
    </row>
    <row r="42" spans="1:14" x14ac:dyDescent="0.25">
      <c r="A42" s="1" t="s">
        <v>74</v>
      </c>
      <c r="B42" s="1"/>
      <c r="C42" s="1"/>
      <c r="D42" s="1"/>
      <c r="E42" s="1"/>
      <c r="F42" s="1"/>
      <c r="G42" s="1"/>
      <c r="H42" s="1"/>
      <c r="I42" s="1"/>
    </row>
    <row r="43" spans="1:14" x14ac:dyDescent="0.25">
      <c r="A43" s="1" t="s">
        <v>75</v>
      </c>
      <c r="B43" s="1"/>
      <c r="C43" s="1"/>
      <c r="D43" s="1"/>
      <c r="E43" s="1"/>
      <c r="F43" s="1"/>
      <c r="G43" s="1"/>
      <c r="H43" s="1"/>
      <c r="I43" s="1"/>
    </row>
    <row r="44" spans="1:14" x14ac:dyDescent="0.25">
      <c r="A44" s="1" t="s">
        <v>76</v>
      </c>
      <c r="B44" s="1"/>
      <c r="C44" s="1"/>
      <c r="D44" s="1"/>
      <c r="E44" s="1"/>
      <c r="F44" s="1"/>
      <c r="G44" s="1"/>
      <c r="H44" s="1"/>
      <c r="I44" s="1"/>
    </row>
    <row r="45" spans="1:14" x14ac:dyDescent="0.25">
      <c r="A45" s="1" t="s">
        <v>77</v>
      </c>
      <c r="B45" s="1"/>
      <c r="C45" s="1"/>
      <c r="D45" s="1"/>
      <c r="E45" s="1"/>
      <c r="F45" s="1"/>
      <c r="G45" s="1"/>
      <c r="H45" s="1"/>
      <c r="I45" s="1"/>
    </row>
  </sheetData>
  <mergeCells count="16">
    <mergeCell ref="A45:I45"/>
    <mergeCell ref="A40:I40"/>
    <mergeCell ref="A41:I41"/>
    <mergeCell ref="A42:I42"/>
    <mergeCell ref="A43:I43"/>
    <mergeCell ref="A44:I44"/>
    <mergeCell ref="J13:N13"/>
    <mergeCell ref="J21:N21"/>
    <mergeCell ref="J23:N23"/>
    <mergeCell ref="L24:N24"/>
    <mergeCell ref="J31:N31"/>
    <mergeCell ref="A1:P1"/>
    <mergeCell ref="A2:P2"/>
    <mergeCell ref="A4:I4"/>
    <mergeCell ref="J4:P4"/>
    <mergeCell ref="J9:M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 FoodLoop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Baldemar Ramires Reyes</cp:lastModifiedBy>
  <cp:revision>0</cp:revision>
  <dcterms:created xsi:type="dcterms:W3CDTF">2026-08-04T17:17:52Z</dcterms:created>
  <dcterms:modified xsi:type="dcterms:W3CDTF">2026-08-05T05:18:51Z</dcterms:modified>
  <dc:language>en-US</dc:language>
</cp:coreProperties>
</file>